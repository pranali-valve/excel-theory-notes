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ch Projects\"/>
    </mc:Choice>
  </mc:AlternateContent>
  <xr:revisionPtr revIDLastSave="0" documentId="13_ncr:1_{2F1F723D-FDAC-45E7-93E2-ED493A824D0D}" xr6:coauthVersionLast="47" xr6:coauthVersionMax="47" xr10:uidLastSave="{00000000-0000-0000-0000-000000000000}"/>
  <bookViews>
    <workbookView xWindow="0" yWindow="0" windowWidth="23040" windowHeight="12240" activeTab="2" xr2:uid="{39511E13-7B06-48A0-80DC-2B081B166B4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3" i="3"/>
  <c r="D4" i="3"/>
  <c r="N3" i="2"/>
  <c r="N4" i="2"/>
  <c r="N5" i="2"/>
  <c r="N6" i="2"/>
  <c r="N7" i="2"/>
  <c r="N8" i="2"/>
  <c r="N9" i="2"/>
  <c r="N10" i="2"/>
  <c r="N11" i="2"/>
  <c r="N2" i="2"/>
  <c r="M3" i="2"/>
  <c r="M4" i="2"/>
  <c r="M5" i="2"/>
  <c r="M6" i="2"/>
  <c r="M7" i="2"/>
  <c r="M8" i="2"/>
  <c r="M9" i="2"/>
  <c r="M10" i="2"/>
  <c r="M11" i="2"/>
  <c r="M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H3" i="2"/>
  <c r="H4" i="2"/>
  <c r="H5" i="2"/>
  <c r="H6" i="2"/>
  <c r="H7" i="2"/>
  <c r="H8" i="2"/>
  <c r="H9" i="2"/>
  <c r="H10" i="2"/>
  <c r="H11" i="2"/>
  <c r="H2" i="2"/>
</calcChain>
</file>

<file path=xl/sharedStrings.xml><?xml version="1.0" encoding="utf-8"?>
<sst xmlns="http://schemas.openxmlformats.org/spreadsheetml/2006/main" count="102" uniqueCount="43">
  <si>
    <t>Employee_ID</t>
  </si>
  <si>
    <t>Name</t>
  </si>
  <si>
    <t>Department</t>
  </si>
  <si>
    <t>City</t>
  </si>
  <si>
    <t>Salary</t>
  </si>
  <si>
    <t>Experience</t>
  </si>
  <si>
    <t>E001</t>
  </si>
  <si>
    <t>Rahul</t>
  </si>
  <si>
    <t>IT</t>
  </si>
  <si>
    <t>Pune</t>
  </si>
  <si>
    <t>E002</t>
  </si>
  <si>
    <t>Priya</t>
  </si>
  <si>
    <t>HR</t>
  </si>
  <si>
    <t>Mumbai</t>
  </si>
  <si>
    <t>E003</t>
  </si>
  <si>
    <t>Amit</t>
  </si>
  <si>
    <t>Nashik</t>
  </si>
  <si>
    <t>E004</t>
  </si>
  <si>
    <t>Sneha</t>
  </si>
  <si>
    <t>Finance</t>
  </si>
  <si>
    <t>E005</t>
  </si>
  <si>
    <t>Rohan</t>
  </si>
  <si>
    <t>Marketing</t>
  </si>
  <si>
    <t>E006</t>
  </si>
  <si>
    <t>Neha</t>
  </si>
  <si>
    <t>E007</t>
  </si>
  <si>
    <t>Akash</t>
  </si>
  <si>
    <t>E008</t>
  </si>
  <si>
    <t>Pooja</t>
  </si>
  <si>
    <t>E009</t>
  </si>
  <si>
    <t>Karan</t>
  </si>
  <si>
    <t>E010</t>
  </si>
  <si>
    <t>Anjali</t>
  </si>
  <si>
    <t>IF</t>
  </si>
  <si>
    <t>IFS</t>
  </si>
  <si>
    <t>AND</t>
  </si>
  <si>
    <t>OR</t>
  </si>
  <si>
    <t>AND + IF</t>
  </si>
  <si>
    <t>OR + IF</t>
  </si>
  <si>
    <t>NOT</t>
  </si>
  <si>
    <t>Sales</t>
  </si>
  <si>
    <t>Orders</t>
  </si>
  <si>
    <t>IFERROR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</si>
</sst>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44" fontId="2" fillId="0" borderId="0" xfId="0" applyNumberFormat="1" applyFont="1" applyAlignment="1">
      <alignment horizontal="left" vertical="center"/>
    </xf>
    <xf numFmtId="44" fontId="0" fillId="0" borderId="0" xfId="0" applyNumberFormat="1" applyAlignment="1">
      <alignment horizontal="right" vertical="center"/>
    </xf>
    <xf numFmtId="44" fontId="0" fillId="0" borderId="0" xfId="0" applyNumberFormat="1"/>
    <xf numFmtId="6" fontId="0" fillId="0" borderId="0" xfId="0" applyNumberFormat="1" applyAlignment="1">
      <alignment horizontal="right" vertical="center" wrapText="1"/>
    </xf>
    <xf numFmtId="6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alignment horizontal="right" vertical="center" textRotation="0" wrapText="1" indent="0" justifyLastLine="0" shrinkToFit="0" readingOrder="0"/>
    </dxf>
    <dxf>
      <numFmt numFmtId="10" formatCode="&quot;₹&quot;\ #,##0;[Red]&quot;₹&quot;\ \-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4" formatCode="_ &quot;₹&quot;\ * #,##0.00_ ;_ &quot;₹&quot;\ * \-#,##0.00_ ;_ &quot;₹&quot;\ * &quot;-&quot;??_ ;_ @_ "/>
      <alignment horizontal="righ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9526E-DE3D-4540-8E6C-2ECB86B8F26E}" name="Table1" displayName="Table1" ref="A1:F11" totalsRowShown="0" headerRowDxfId="15" dataDxfId="14">
  <autoFilter ref="A1:F11" xr:uid="{EFB7C795-D858-4453-9F83-4E4561BF4529}"/>
  <tableColumns count="6">
    <tableColumn id="1" xr3:uid="{2F8B54D0-D99B-47BF-A09B-0B673CAE52B3}" name="Employee_ID" dataDxfId="13"/>
    <tableColumn id="2" xr3:uid="{12EC7E4D-1C6E-4314-9E48-C70229F1EEA1}" name="Name" dataDxfId="12"/>
    <tableColumn id="3" xr3:uid="{FF414DBD-1D2F-4A25-B4D0-77CFD5291EF5}" name="Department" dataDxfId="11"/>
    <tableColumn id="4" xr3:uid="{6A54EBB7-F25A-43E3-B94E-252F6359A537}" name="City" dataDxfId="10"/>
    <tableColumn id="5" xr3:uid="{9DA8F84B-0925-438D-8B85-0E13FE1AB0E8}" name="Salary" dataDxfId="9"/>
    <tableColumn id="6" xr3:uid="{44CD7A4F-0ED0-4AAD-A9BC-78D2D69CD96A}" name="Experien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A3EF7-3B16-4422-B548-AC284CB21459}" name="Table2" displayName="Table2" ref="A1:F11" totalsRowShown="0" headerRowDxfId="7" dataDxfId="6">
  <autoFilter ref="A1:F11" xr:uid="{3ACA3EF7-3B16-4422-B548-AC284CB21459}"/>
  <tableColumns count="6">
    <tableColumn id="1" xr3:uid="{6E188C22-DB2C-4A52-858E-6272B52B7ECF}" name="Employee_ID" dataDxfId="5"/>
    <tableColumn id="2" xr3:uid="{50C4A4BB-22A2-4023-8AE6-C2F647DEB7D2}" name="Name" dataDxfId="4"/>
    <tableColumn id="3" xr3:uid="{4716E4B4-E93F-4FBF-AA7B-C671B947EEF4}" name="Department" dataDxfId="3"/>
    <tableColumn id="4" xr3:uid="{00D99915-05C5-4CFB-99DE-587B5456D8CC}" name="City" dataDxfId="2"/>
    <tableColumn id="5" xr3:uid="{835B2E5F-989E-43B1-9E20-A68FE406758A}" name="Salary" dataDxfId="1"/>
    <tableColumn id="6" xr3:uid="{FD90E954-D98F-4FE1-871A-F23EDD367940}" name="Experi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C795-D858-4453-9F83-4E4561BF4529}">
  <dimension ref="A1:F11"/>
  <sheetViews>
    <sheetView topLeftCell="B1" zoomScale="150" zoomScaleNormal="150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15.44140625" customWidth="1"/>
    <col min="3" max="3" width="15.44140625" customWidth="1"/>
    <col min="5" max="5" width="12.6640625" style="8" customWidth="1"/>
    <col min="6" max="6" width="13.6640625" customWidth="1"/>
  </cols>
  <sheetData>
    <row r="1" spans="1:6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x14ac:dyDescent="0.3">
      <c r="A2" s="4" t="s">
        <v>29</v>
      </c>
      <c r="B2" s="4" t="s">
        <v>30</v>
      </c>
      <c r="C2" s="4" t="s">
        <v>22</v>
      </c>
      <c r="D2" s="4" t="s">
        <v>16</v>
      </c>
      <c r="E2" s="7">
        <v>46000</v>
      </c>
      <c r="F2" s="2">
        <v>3</v>
      </c>
    </row>
    <row r="3" spans="1:6" x14ac:dyDescent="0.3">
      <c r="A3" s="4" t="s">
        <v>20</v>
      </c>
      <c r="B3" s="4" t="s">
        <v>21</v>
      </c>
      <c r="C3" s="4" t="s">
        <v>22</v>
      </c>
      <c r="D3" s="4" t="s">
        <v>13</v>
      </c>
      <c r="E3" s="7">
        <v>42000</v>
      </c>
      <c r="F3" s="2">
        <v>2</v>
      </c>
    </row>
    <row r="4" spans="1:6" x14ac:dyDescent="0.3">
      <c r="A4" s="4" t="s">
        <v>23</v>
      </c>
      <c r="B4" s="4" t="s">
        <v>24</v>
      </c>
      <c r="C4" s="4" t="s">
        <v>8</v>
      </c>
      <c r="D4" s="4" t="s">
        <v>13</v>
      </c>
      <c r="E4" s="7">
        <v>60000</v>
      </c>
      <c r="F4" s="2">
        <v>5</v>
      </c>
    </row>
    <row r="5" spans="1:6" x14ac:dyDescent="0.3">
      <c r="A5" s="4" t="s">
        <v>14</v>
      </c>
      <c r="B5" s="4" t="s">
        <v>15</v>
      </c>
      <c r="C5" s="4" t="s">
        <v>8</v>
      </c>
      <c r="D5" s="4" t="s">
        <v>16</v>
      </c>
      <c r="E5" s="7">
        <v>52000</v>
      </c>
      <c r="F5" s="2">
        <v>4</v>
      </c>
    </row>
    <row r="6" spans="1:6" ht="14.4" customHeight="1" x14ac:dyDescent="0.3">
      <c r="A6" s="4" t="s">
        <v>31</v>
      </c>
      <c r="B6" s="4" t="s">
        <v>32</v>
      </c>
      <c r="C6" s="4" t="s">
        <v>8</v>
      </c>
      <c r="D6" s="4" t="s">
        <v>9</v>
      </c>
      <c r="E6" s="7">
        <v>58000</v>
      </c>
      <c r="F6" s="2">
        <v>4</v>
      </c>
    </row>
    <row r="7" spans="1:6" x14ac:dyDescent="0.3">
      <c r="A7" s="4" t="s">
        <v>6</v>
      </c>
      <c r="B7" s="4" t="s">
        <v>7</v>
      </c>
      <c r="C7" s="4" t="s">
        <v>8</v>
      </c>
      <c r="D7" s="4" t="s">
        <v>9</v>
      </c>
      <c r="E7" s="7">
        <v>45000</v>
      </c>
      <c r="F7" s="2">
        <v>2</v>
      </c>
    </row>
    <row r="8" spans="1:6" x14ac:dyDescent="0.3">
      <c r="A8" s="4" t="s">
        <v>10</v>
      </c>
      <c r="B8" s="4" t="s">
        <v>11</v>
      </c>
      <c r="C8" s="4" t="s">
        <v>12</v>
      </c>
      <c r="D8" s="4" t="s">
        <v>13</v>
      </c>
      <c r="E8" s="7">
        <v>38000</v>
      </c>
      <c r="F8" s="2">
        <v>3</v>
      </c>
    </row>
    <row r="9" spans="1:6" x14ac:dyDescent="0.3">
      <c r="A9" s="4" t="s">
        <v>27</v>
      </c>
      <c r="B9" s="4" t="s">
        <v>28</v>
      </c>
      <c r="C9" s="4" t="s">
        <v>12</v>
      </c>
      <c r="D9" s="4" t="s">
        <v>9</v>
      </c>
      <c r="E9" s="7">
        <v>35000</v>
      </c>
      <c r="F9" s="2">
        <v>1</v>
      </c>
    </row>
    <row r="10" spans="1:6" ht="15" customHeight="1" x14ac:dyDescent="0.3">
      <c r="A10" s="4" t="s">
        <v>25</v>
      </c>
      <c r="B10" s="4" t="s">
        <v>26</v>
      </c>
      <c r="C10" s="4" t="s">
        <v>19</v>
      </c>
      <c r="D10" s="4" t="s">
        <v>16</v>
      </c>
      <c r="E10" s="7">
        <v>55000</v>
      </c>
      <c r="F10" s="2">
        <v>4</v>
      </c>
    </row>
    <row r="11" spans="1:6" x14ac:dyDescent="0.3">
      <c r="A11" s="4" t="s">
        <v>17</v>
      </c>
      <c r="B11" s="4" t="s">
        <v>18</v>
      </c>
      <c r="C11" s="4" t="s">
        <v>19</v>
      </c>
      <c r="D11" s="4" t="s">
        <v>9</v>
      </c>
      <c r="E11" s="7">
        <v>48000</v>
      </c>
      <c r="F11" s="2">
        <v>3</v>
      </c>
    </row>
  </sheetData>
  <sortState xmlns:xlrd2="http://schemas.microsoft.com/office/spreadsheetml/2017/richdata2" ref="A2:F11">
    <sortCondition ref="B2:B1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9067-06C7-4AC0-B2C0-DDB0F7E04196}">
  <dimension ref="A1:N13"/>
  <sheetViews>
    <sheetView topLeftCell="B1" zoomScale="130" zoomScaleNormal="130" workbookViewId="0">
      <pane ySplit="1" topLeftCell="A2" activePane="bottomLeft" state="frozen"/>
      <selection pane="bottomLeft" activeCell="N2" sqref="N2:N11"/>
    </sheetView>
  </sheetViews>
  <sheetFormatPr defaultRowHeight="14.4" x14ac:dyDescent="0.3"/>
  <cols>
    <col min="1" max="1" width="17" customWidth="1"/>
    <col min="2" max="2" width="11.33203125" customWidth="1"/>
    <col min="3" max="3" width="15.33203125" customWidth="1"/>
    <col min="4" max="4" width="11.44140625" customWidth="1"/>
    <col min="5" max="5" width="10.77734375" customWidth="1"/>
    <col min="6" max="6" width="14.109375" customWidth="1"/>
    <col min="7" max="7" width="11.6640625" bestFit="1" customWidth="1"/>
    <col min="8" max="8" width="14.109375" bestFit="1" customWidth="1"/>
    <col min="12" max="12" width="10.21875" bestFit="1" customWidth="1"/>
  </cols>
  <sheetData>
    <row r="1" spans="1:14" ht="21.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</row>
    <row r="2" spans="1:14" x14ac:dyDescent="0.3">
      <c r="A2" s="4" t="s">
        <v>23</v>
      </c>
      <c r="B2" s="4" t="s">
        <v>24</v>
      </c>
      <c r="C2" s="4" t="s">
        <v>8</v>
      </c>
      <c r="D2" s="4" t="s">
        <v>13</v>
      </c>
      <c r="E2" s="9">
        <v>60000</v>
      </c>
      <c r="F2" s="2">
        <v>5</v>
      </c>
      <c r="H2" t="str">
        <f>IF(Table2[Salary]&gt;=50000,"High Salary","Standard Salary")</f>
        <v>High Salary</v>
      </c>
      <c r="I2" t="str">
        <f>_xlfn.IFS(Table2[[#This Row],[Salary]]&gt;=60000,"Very High",Table2[[#This Row],[Salary]]&gt;=50000,"High",Table2[[#This Row],[Salary]]&gt;=40000,"Medium",Table2[[#This Row],[Salary]]&lt;40000,"Very Low")</f>
        <v>Very High</v>
      </c>
      <c r="J2" t="b">
        <f>AND(Table2[[#This Row],[Salary]]&gt;=50000,Table2[[#This Row],[Experience]]&gt;=4)</f>
        <v>1</v>
      </c>
      <c r="K2" t="b">
        <f>OR(Table2[[#This Row],[Salary]]&gt;=40000,Table2[[#This Row],[Experience]]&gt;=4)</f>
        <v>1</v>
      </c>
      <c r="L2" t="str">
        <f>IF(AND(Table2[[#This Row],[Salary]]&gt;=40000,Table2[[#This Row],[Experience]]&gt;=4),"Eligible","Not Eligible")</f>
        <v>Eligible</v>
      </c>
      <c r="M2" t="str">
        <f>IF(OR(Table2[[#This Row],[Salary]]&gt;=35000,Table2[[#This Row],[Experience]]&gt;=4),"Eligible","Not Eligible")</f>
        <v>Eligible</v>
      </c>
      <c r="N2" t="b">
        <f>NOT(Table2[[#This Row],[Salary]]&gt;=50000)</f>
        <v>0</v>
      </c>
    </row>
    <row r="3" spans="1:14" x14ac:dyDescent="0.3">
      <c r="A3" s="4" t="s">
        <v>14</v>
      </c>
      <c r="B3" s="4" t="s">
        <v>15</v>
      </c>
      <c r="C3" s="4" t="s">
        <v>8</v>
      </c>
      <c r="D3" s="4" t="s">
        <v>16</v>
      </c>
      <c r="E3" s="9">
        <v>52000</v>
      </c>
      <c r="F3" s="2">
        <v>4</v>
      </c>
      <c r="H3" t="str">
        <f>IF(Table2[Salary]&gt;=50000,"High Salary","Standard Salary")</f>
        <v>High Salary</v>
      </c>
      <c r="I3" t="str">
        <f>_xlfn.IFS(Table2[[#This Row],[Salary]]&gt;=60000,"Very High",Table2[[#This Row],[Salary]]&gt;=50000,"High",Table2[[#This Row],[Salary]]&gt;=40000,"Medium",Table2[[#This Row],[Salary]]&lt;40000,"Very Low")</f>
        <v>High</v>
      </c>
      <c r="J3" t="b">
        <f>AND(Table2[[#This Row],[Salary]]&gt;=50000,Table2[[#This Row],[Experience]]&gt;=4)</f>
        <v>1</v>
      </c>
      <c r="K3" t="b">
        <f>OR(Table2[[#This Row],[Salary]]&gt;=40000,Table2[[#This Row],[Experience]]&gt;=4)</f>
        <v>1</v>
      </c>
      <c r="L3" t="str">
        <f>IF(AND(Table2[[#This Row],[Salary]]&gt;=40000,Table2[[#This Row],[Experience]]&gt;=4),"Eligible","Not Eligible")</f>
        <v>Eligible</v>
      </c>
      <c r="M3" t="str">
        <f>IF(OR(Table2[[#This Row],[Salary]]&gt;=35000,Table2[[#This Row],[Experience]]&gt;=4),"Eligible","Not Eligible")</f>
        <v>Eligible</v>
      </c>
      <c r="N3" t="b">
        <f>NOT(Table2[[#This Row],[Salary]]&gt;=50000)</f>
        <v>0</v>
      </c>
    </row>
    <row r="4" spans="1:14" x14ac:dyDescent="0.3">
      <c r="A4" s="4" t="s">
        <v>25</v>
      </c>
      <c r="B4" s="4" t="s">
        <v>26</v>
      </c>
      <c r="C4" s="4" t="s">
        <v>19</v>
      </c>
      <c r="D4" s="4" t="s">
        <v>16</v>
      </c>
      <c r="E4" s="9">
        <v>55000</v>
      </c>
      <c r="F4" s="2">
        <v>4</v>
      </c>
      <c r="H4" t="str">
        <f>IF(Table2[Salary]&gt;=50000,"High Salary","Standard Salary")</f>
        <v>High Salary</v>
      </c>
      <c r="I4" t="str">
        <f>_xlfn.IFS(Table2[[#This Row],[Salary]]&gt;=60000,"Very High",Table2[[#This Row],[Salary]]&gt;=50000,"High",Table2[[#This Row],[Salary]]&gt;=40000,"Medium",Table2[[#This Row],[Salary]]&lt;40000,"Very Low")</f>
        <v>High</v>
      </c>
      <c r="J4" t="b">
        <f>AND(Table2[[#This Row],[Salary]]&gt;=50000,Table2[[#This Row],[Experience]]&gt;=4)</f>
        <v>1</v>
      </c>
      <c r="K4" t="b">
        <f>OR(Table2[[#This Row],[Salary]]&gt;=40000,Table2[[#This Row],[Experience]]&gt;=4)</f>
        <v>1</v>
      </c>
      <c r="L4" t="str">
        <f>IF(AND(Table2[[#This Row],[Salary]]&gt;=40000,Table2[[#This Row],[Experience]]&gt;=4),"Eligible","Not Eligible")</f>
        <v>Eligible</v>
      </c>
      <c r="M4" t="str">
        <f>IF(OR(Table2[[#This Row],[Salary]]&gt;=35000,Table2[[#This Row],[Experience]]&gt;=4),"Eligible","Not Eligible")</f>
        <v>Eligible</v>
      </c>
      <c r="N4" t="b">
        <f>NOT(Table2[[#This Row],[Salary]]&gt;=50000)</f>
        <v>0</v>
      </c>
    </row>
    <row r="5" spans="1:14" x14ac:dyDescent="0.3">
      <c r="A5" s="4" t="s">
        <v>31</v>
      </c>
      <c r="B5" s="4" t="s">
        <v>32</v>
      </c>
      <c r="C5" s="4" t="s">
        <v>8</v>
      </c>
      <c r="D5" s="4" t="s">
        <v>9</v>
      </c>
      <c r="E5" s="9">
        <v>58000</v>
      </c>
      <c r="F5" s="2">
        <v>4</v>
      </c>
      <c r="H5" t="str">
        <f>IF(Table2[Salary]&gt;=50000,"High Salary","Standard Salary")</f>
        <v>High Salary</v>
      </c>
      <c r="I5" t="str">
        <f>_xlfn.IFS(Table2[[#This Row],[Salary]]&gt;=60000,"Very High",Table2[[#This Row],[Salary]]&gt;=50000,"High",Table2[[#This Row],[Salary]]&gt;=40000,"Medium",Table2[[#This Row],[Salary]]&lt;40000,"Very Low")</f>
        <v>High</v>
      </c>
      <c r="J5" t="b">
        <f>AND(Table2[[#This Row],[Salary]]&gt;=50000,Table2[[#This Row],[Experience]]&gt;=4)</f>
        <v>1</v>
      </c>
      <c r="K5" t="b">
        <f>OR(Table2[[#This Row],[Salary]]&gt;=40000,Table2[[#This Row],[Experience]]&gt;=4)</f>
        <v>1</v>
      </c>
      <c r="L5" t="str">
        <f>IF(AND(Table2[[#This Row],[Salary]]&gt;=40000,Table2[[#This Row],[Experience]]&gt;=4),"Eligible","Not Eligible")</f>
        <v>Eligible</v>
      </c>
      <c r="M5" t="str">
        <f>IF(OR(Table2[[#This Row],[Salary]]&gt;=35000,Table2[[#This Row],[Experience]]&gt;=4),"Eligible","Not Eligible")</f>
        <v>Eligible</v>
      </c>
      <c r="N5" t="b">
        <f>NOT(Table2[[#This Row],[Salary]]&gt;=50000)</f>
        <v>0</v>
      </c>
    </row>
    <row r="6" spans="1:14" ht="15.6" customHeight="1" x14ac:dyDescent="0.3">
      <c r="A6" s="4" t="s">
        <v>10</v>
      </c>
      <c r="B6" s="4" t="s">
        <v>11</v>
      </c>
      <c r="C6" s="4" t="s">
        <v>12</v>
      </c>
      <c r="D6" s="4" t="s">
        <v>13</v>
      </c>
      <c r="E6" s="9">
        <v>38000</v>
      </c>
      <c r="F6" s="2">
        <v>3</v>
      </c>
      <c r="H6" t="str">
        <f>IF(Table2[Salary]&gt;=50000,"High Salary","Standard Salary")</f>
        <v>Standard Salary</v>
      </c>
      <c r="I6" t="str">
        <f>_xlfn.IFS(Table2[[#This Row],[Salary]]&gt;=60000,"Very High",Table2[[#This Row],[Salary]]&gt;=50000,"High",Table2[[#This Row],[Salary]]&gt;=40000,"Medium",Table2[[#This Row],[Salary]]&lt;40000,"Very Low")</f>
        <v>Very Low</v>
      </c>
      <c r="J6" t="b">
        <f>AND(Table2[[#This Row],[Salary]]&gt;=50000,Table2[[#This Row],[Experience]]&gt;=4)</f>
        <v>0</v>
      </c>
      <c r="K6" t="b">
        <f>OR(Table2[[#This Row],[Salary]]&gt;=40000,Table2[[#This Row],[Experience]]&gt;=4)</f>
        <v>0</v>
      </c>
      <c r="L6" t="str">
        <f>IF(AND(Table2[[#This Row],[Salary]]&gt;=40000,Table2[[#This Row],[Experience]]&gt;=4),"Eligible","Not Eligible")</f>
        <v>Not Eligible</v>
      </c>
      <c r="M6" t="str">
        <f>IF(OR(Table2[[#This Row],[Salary]]&gt;=35000,Table2[[#This Row],[Experience]]&gt;=4),"Eligible","Not Eligible")</f>
        <v>Eligible</v>
      </c>
      <c r="N6" t="b">
        <f>NOT(Table2[[#This Row],[Salary]]&gt;=50000)</f>
        <v>1</v>
      </c>
    </row>
    <row r="7" spans="1:14" x14ac:dyDescent="0.3">
      <c r="A7" s="4" t="s">
        <v>17</v>
      </c>
      <c r="B7" s="4" t="s">
        <v>18</v>
      </c>
      <c r="C7" s="4" t="s">
        <v>19</v>
      </c>
      <c r="D7" s="4" t="s">
        <v>9</v>
      </c>
      <c r="E7" s="9">
        <v>48000</v>
      </c>
      <c r="F7" s="2">
        <v>3</v>
      </c>
      <c r="H7" t="str">
        <f>IF(Table2[Salary]&gt;=50000,"High Salary","Standard Salary")</f>
        <v>Standard Salary</v>
      </c>
      <c r="I7" t="str">
        <f>_xlfn.IFS(Table2[[#This Row],[Salary]]&gt;=60000,"Very High",Table2[[#This Row],[Salary]]&gt;=50000,"High",Table2[[#This Row],[Salary]]&gt;=40000,"Medium",Table2[[#This Row],[Salary]]&lt;40000,"Very Low")</f>
        <v>Medium</v>
      </c>
      <c r="J7" t="b">
        <f>AND(Table2[[#This Row],[Salary]]&gt;=50000,Table2[[#This Row],[Experience]]&gt;=4)</f>
        <v>0</v>
      </c>
      <c r="K7" t="b">
        <f>OR(Table2[[#This Row],[Salary]]&gt;=40000,Table2[[#This Row],[Experience]]&gt;=4)</f>
        <v>1</v>
      </c>
      <c r="L7" t="str">
        <f>IF(AND(Table2[[#This Row],[Salary]]&gt;=40000,Table2[[#This Row],[Experience]]&gt;=4),"Eligible","Not Eligible")</f>
        <v>Not Eligible</v>
      </c>
      <c r="M7" t="str">
        <f>IF(OR(Table2[[#This Row],[Salary]]&gt;=35000,Table2[[#This Row],[Experience]]&gt;=4),"Eligible","Not Eligible")</f>
        <v>Eligible</v>
      </c>
      <c r="N7" t="b">
        <f>NOT(Table2[[#This Row],[Salary]]&gt;=50000)</f>
        <v>1</v>
      </c>
    </row>
    <row r="8" spans="1:14" x14ac:dyDescent="0.3">
      <c r="A8" s="4" t="s">
        <v>29</v>
      </c>
      <c r="B8" s="4" t="s">
        <v>30</v>
      </c>
      <c r="C8" s="4" t="s">
        <v>22</v>
      </c>
      <c r="D8" s="4" t="s">
        <v>16</v>
      </c>
      <c r="E8" s="9">
        <v>46000</v>
      </c>
      <c r="F8" s="2">
        <v>3</v>
      </c>
      <c r="H8" t="str">
        <f>IF(Table2[Salary]&gt;=50000,"High Salary","Standard Salary")</f>
        <v>Standard Salary</v>
      </c>
      <c r="I8" t="str">
        <f>_xlfn.IFS(Table2[[#This Row],[Salary]]&gt;=60000,"Very High",Table2[[#This Row],[Salary]]&gt;=50000,"High",Table2[[#This Row],[Salary]]&gt;=40000,"Medium",Table2[[#This Row],[Salary]]&lt;40000,"Very Low")</f>
        <v>Medium</v>
      </c>
      <c r="J8" t="b">
        <f>AND(Table2[[#This Row],[Salary]]&gt;=50000,Table2[[#This Row],[Experience]]&gt;=4)</f>
        <v>0</v>
      </c>
      <c r="K8" t="b">
        <f>OR(Table2[[#This Row],[Salary]]&gt;=40000,Table2[[#This Row],[Experience]]&gt;=4)</f>
        <v>1</v>
      </c>
      <c r="L8" t="str">
        <f>IF(AND(Table2[[#This Row],[Salary]]&gt;=40000,Table2[[#This Row],[Experience]]&gt;=4),"Eligible","Not Eligible")</f>
        <v>Not Eligible</v>
      </c>
      <c r="M8" t="str">
        <f>IF(OR(Table2[[#This Row],[Salary]]&gt;=35000,Table2[[#This Row],[Experience]]&gt;=4),"Eligible","Not Eligible")</f>
        <v>Eligible</v>
      </c>
      <c r="N8" t="b">
        <f>NOT(Table2[[#This Row],[Salary]]&gt;=50000)</f>
        <v>1</v>
      </c>
    </row>
    <row r="9" spans="1:14" x14ac:dyDescent="0.3">
      <c r="A9" s="4" t="s">
        <v>6</v>
      </c>
      <c r="B9" s="4" t="s">
        <v>7</v>
      </c>
      <c r="C9" s="4" t="s">
        <v>8</v>
      </c>
      <c r="D9" s="4" t="s">
        <v>9</v>
      </c>
      <c r="E9" s="9">
        <v>45000</v>
      </c>
      <c r="F9" s="2">
        <v>2</v>
      </c>
      <c r="H9" t="str">
        <f>IF(Table2[Salary]&gt;=50000,"High Salary","Standard Salary")</f>
        <v>Standard Salary</v>
      </c>
      <c r="I9" t="str">
        <f>_xlfn.IFS(Table2[[#This Row],[Salary]]&gt;=60000,"Very High",Table2[[#This Row],[Salary]]&gt;=50000,"High",Table2[[#This Row],[Salary]]&gt;=40000,"Medium",Table2[[#This Row],[Salary]]&lt;40000,"Very Low")</f>
        <v>Medium</v>
      </c>
      <c r="J9" t="b">
        <f>AND(Table2[[#This Row],[Salary]]&gt;=50000,Table2[[#This Row],[Experience]]&gt;=4)</f>
        <v>0</v>
      </c>
      <c r="K9" t="b">
        <f>OR(Table2[[#This Row],[Salary]]&gt;=40000,Table2[[#This Row],[Experience]]&gt;=4)</f>
        <v>1</v>
      </c>
      <c r="L9" t="str">
        <f>IF(AND(Table2[[#This Row],[Salary]]&gt;=40000,Table2[[#This Row],[Experience]]&gt;=4),"Eligible","Not Eligible")</f>
        <v>Not Eligible</v>
      </c>
      <c r="M9" t="str">
        <f>IF(OR(Table2[[#This Row],[Salary]]&gt;=35000,Table2[[#This Row],[Experience]]&gt;=4),"Eligible","Not Eligible")</f>
        <v>Eligible</v>
      </c>
      <c r="N9" t="b">
        <f>NOT(Table2[[#This Row],[Salary]]&gt;=50000)</f>
        <v>1</v>
      </c>
    </row>
    <row r="10" spans="1:14" ht="13.2" customHeight="1" x14ac:dyDescent="0.3">
      <c r="A10" s="4" t="s">
        <v>20</v>
      </c>
      <c r="B10" s="4" t="s">
        <v>21</v>
      </c>
      <c r="C10" s="4" t="s">
        <v>22</v>
      </c>
      <c r="D10" s="4" t="s">
        <v>13</v>
      </c>
      <c r="E10" s="9">
        <v>42000</v>
      </c>
      <c r="F10" s="2">
        <v>2</v>
      </c>
      <c r="H10" t="str">
        <f>IF(Table2[Salary]&gt;=50000,"High Salary","Standard Salary")</f>
        <v>Standard Salary</v>
      </c>
      <c r="I10" t="str">
        <f>_xlfn.IFS(Table2[[#This Row],[Salary]]&gt;=60000,"Very High",Table2[[#This Row],[Salary]]&gt;=50000,"High",Table2[[#This Row],[Salary]]&gt;=40000,"Medium",Table2[[#This Row],[Salary]]&lt;40000,"Very Low")</f>
        <v>Medium</v>
      </c>
      <c r="J10" t="b">
        <f>AND(Table2[[#This Row],[Salary]]&gt;=50000,Table2[[#This Row],[Experience]]&gt;=4)</f>
        <v>0</v>
      </c>
      <c r="K10" t="b">
        <f>OR(Table2[[#This Row],[Salary]]&gt;=40000,Table2[[#This Row],[Experience]]&gt;=4)</f>
        <v>1</v>
      </c>
      <c r="L10" t="str">
        <f>IF(AND(Table2[[#This Row],[Salary]]&gt;=40000,Table2[[#This Row],[Experience]]&gt;=4),"Eligible","Not Eligible")</f>
        <v>Not Eligible</v>
      </c>
      <c r="M10" t="str">
        <f>IF(OR(Table2[[#This Row],[Salary]]&gt;=35000,Table2[[#This Row],[Experience]]&gt;=4),"Eligible","Not Eligible")</f>
        <v>Eligible</v>
      </c>
      <c r="N10" t="b">
        <f>NOT(Table2[[#This Row],[Salary]]&gt;=50000)</f>
        <v>1</v>
      </c>
    </row>
    <row r="11" spans="1:14" x14ac:dyDescent="0.3">
      <c r="A11" s="4" t="s">
        <v>27</v>
      </c>
      <c r="B11" s="4" t="s">
        <v>28</v>
      </c>
      <c r="C11" s="4" t="s">
        <v>12</v>
      </c>
      <c r="D11" s="4" t="s">
        <v>9</v>
      </c>
      <c r="E11" s="9">
        <v>35000</v>
      </c>
      <c r="F11" s="2">
        <v>1</v>
      </c>
      <c r="H11" t="str">
        <f>IF(Table2[Salary]&gt;=50000,"High Salary","Standard Salary")</f>
        <v>Standard Salary</v>
      </c>
      <c r="I11" t="str">
        <f>_xlfn.IFS(Table2[[#This Row],[Salary]]&gt;=60000,"Very High",Table2[[#This Row],[Salary]]&gt;=50000,"High",Table2[[#This Row],[Salary]]&gt;=40000,"Medium",Table2[[#This Row],[Salary]]&lt;40000,"Very Low")</f>
        <v>Very Low</v>
      </c>
      <c r="J11" t="b">
        <f>AND(Table2[[#This Row],[Salary]]&gt;=50000,Table2[[#This Row],[Experience]]&gt;=4)</f>
        <v>0</v>
      </c>
      <c r="K11" t="b">
        <f>OR(Table2[[#This Row],[Salary]]&gt;=40000,Table2[[#This Row],[Experience]]&gt;=4)</f>
        <v>0</v>
      </c>
      <c r="L11" t="str">
        <f>IF(AND(Table2[[#This Row],[Salary]]&gt;=40000,Table2[[#This Row],[Experience]]&gt;=4),"Eligible","Not Eligible")</f>
        <v>Not Eligible</v>
      </c>
      <c r="M11" t="str">
        <f>IF(OR(Table2[[#This Row],[Salary]]&gt;=35000,Table2[[#This Row],[Experience]]&gt;=4),"Eligible","Not Eligible")</f>
        <v>Eligible</v>
      </c>
      <c r="N11" t="b">
        <f>NOT(Table2[[#This Row],[Salary]]&gt;=50000)</f>
        <v>1</v>
      </c>
    </row>
    <row r="13" spans="1:14" x14ac:dyDescent="0.3">
      <c r="E13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3C3E-8330-4179-84C4-843729097254}">
  <dimension ref="A1:D4"/>
  <sheetViews>
    <sheetView tabSelected="1" zoomScale="130" zoomScaleNormal="130" workbookViewId="0">
      <selection activeCell="D3" sqref="D3"/>
    </sheetView>
  </sheetViews>
  <sheetFormatPr defaultRowHeight="14.4" x14ac:dyDescent="0.3"/>
  <sheetData>
    <row r="1" spans="1:4" x14ac:dyDescent="0.3">
      <c r="A1" s="1" t="s">
        <v>40</v>
      </c>
      <c r="B1" s="1" t="s">
        <v>41</v>
      </c>
      <c r="D1" t="s">
        <v>42</v>
      </c>
    </row>
    <row r="2" spans="1:4" x14ac:dyDescent="0.3">
      <c r="A2" s="4">
        <v>100000</v>
      </c>
      <c r="B2" s="4">
        <v>100</v>
      </c>
      <c r="D2">
        <f>IFERROR(A2/B2,"No Orders")</f>
        <v>1000</v>
      </c>
    </row>
    <row r="3" spans="1:4" x14ac:dyDescent="0.3">
      <c r="A3" s="4">
        <v>50000</v>
      </c>
      <c r="B3" s="4">
        <v>50</v>
      </c>
      <c r="D3">
        <f t="shared" ref="D3:D4" si="0">IFERROR(A3/B3,"No Orders")</f>
        <v>1000</v>
      </c>
    </row>
    <row r="4" spans="1:4" x14ac:dyDescent="0.3">
      <c r="A4" s="4">
        <v>20000</v>
      </c>
      <c r="B4" s="4">
        <v>0</v>
      </c>
      <c r="D4" t="str">
        <f t="shared" si="0"/>
        <v>No Orders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Valve</dc:creator>
  <cp:lastModifiedBy>Pranali Valve</cp:lastModifiedBy>
  <dcterms:created xsi:type="dcterms:W3CDTF">2026-08-16T13:47:38Z</dcterms:created>
  <dcterms:modified xsi:type="dcterms:W3CDTF">2026-08-18T16:39:21Z</dcterms:modified>
</cp:coreProperties>
</file>